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limate Change Assign-1\"/>
    </mc:Choice>
  </mc:AlternateContent>
  <xr:revisionPtr revIDLastSave="0" documentId="13_ncr:1_{B7B2DADF-CBE5-4FDF-AD8E-8DDC795BFD36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Main Dataset" sheetId="1" r:id="rId1"/>
    <sheet name="Sources &amp; Notes" sheetId="2" r:id="rId2"/>
    <sheet name="US Sector Emissions Breakdown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3" l="1"/>
  <c r="E22" i="3"/>
  <c r="D22" i="3"/>
  <c r="C22" i="3"/>
  <c r="B22" i="3"/>
  <c r="K22" i="1"/>
  <c r="J22" i="1"/>
  <c r="I22" i="1"/>
  <c r="H22" i="1"/>
  <c r="G22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<sst xmlns="http://schemas.openxmlformats.org/spreadsheetml/2006/main" count="71" uniqueCount="51">
  <si>
    <t>Year</t>
  </si>
  <si>
    <t>Key Events</t>
  </si>
  <si>
    <t>Total CO₂
(Mt)</t>
  </si>
  <si>
    <t>Population</t>
  </si>
  <si>
    <t>US Share of
Global CO₂ (%)</t>
  </si>
  <si>
    <t>GDP per Capita
(USD)</t>
  </si>
  <si>
    <t>Global Financial Crisis</t>
  </si>
  <si>
    <t>GFC Recession</t>
  </si>
  <si>
    <t>COVID-19 — largest single-year drop</t>
  </si>
  <si>
    <t>Post-COVID rebound</t>
  </si>
  <si>
    <t>2004–2023 Summary</t>
  </si>
  <si>
    <t>Sources: (1) Global Carbon Budget (2025) via Our World in Data — Annual CO₂ Emissions &amp; Per Capita CO₂ (fossil fuels &amp; industry; excludes land-use change). (2) World Bank World Development Indicators — GDP per Capita (NY.GDP.PCAP.CD) &amp; Population (SP.POP.TOTL). Downloaded: 21 March 2026. Comparative per capita figures for India, China, and World Average also sourced from OWID/Global Carbon Budget (2025).</t>
  </si>
  <si>
    <t>Variable Definitions, Sources &amp; Citation Guide</t>
  </si>
  <si>
    <t>Variable / Column</t>
  </si>
  <si>
    <t>Definition, Source &amp; Citation</t>
  </si>
  <si>
    <t>Total CO₂ (Mt)</t>
  </si>
  <si>
    <t>Annual territorial CO₂ emissions from fossil fuels and industry, converted to million tonnes.
Source: Global Carbon Project, "Global Carbon Budget v15" (2025), processed by Our World in Data.
Excludes land-use change and international aviation/shipping.
URL: https://ourworldindata.org/grapher/annual-co2-emissions-per-country
APA: Global Carbon Budget (2025) – with major processing by Our World in Data. Annual CO₂ emissions [dataset].</t>
  </si>
  <si>
    <t>Total de facto population of the United States.
Source: World Bank, World Development Indicators. Indicator code: SP.POP.TOTL.
URL: https://data.worldbank.org/indicator/SP.POP.TOTL?locations=US</t>
  </si>
  <si>
    <t>US Share of Global CO₂ (%)</t>
  </si>
  <si>
    <t>Calculated column: (US Total CO₂ ÷ World Total CO₂) × 100.
World total CO₂ from same source: Global Carbon Budget (2025) via Our World in Data.</t>
  </si>
  <si>
    <t>Per Capita CO₂ — US, India, China, World</t>
  </si>
  <si>
    <t>Annual CO₂ emissions per person (tonnes/person).
Source: Global Carbon Budget (2025); Population based on various sources (2024), via Our World in Data.
URL: https://ourworldindata.org/grapher/co-emissions-per-capita
APA: Global Carbon Budget (2025); Population based on various sources (2024) – with major processing by Our World in Data.</t>
  </si>
  <si>
    <t>US vs India / US vs World (ratio)</t>
  </si>
  <si>
    <t>Calculated columns showing how many times higher US per capita emissions are relative to India and the world average.
Formula: US per capita ÷ comparator per capita. Useful for carbon inequality analysis (Task c).</t>
  </si>
  <si>
    <t>GDP per Capita (USD)</t>
  </si>
  <si>
    <t>GDP per capita in current US dollars.
Source: World Bank, World Development Indicators. Indicator code: NY.GDP.PCAP.CD.
URL: https://data.worldbank.org/indicator/NY.GDP.PCAP.CD?locations=US</t>
  </si>
  <si>
    <t>Time Period &amp; Coverage</t>
  </si>
  <si>
    <t>2004–2023 (20 years). All variables have complete, verified data across this range.
2024–2025 excluded: 2024 GDP data unavailable at time of download; 2025 emissions data not yet published.
This range satisfies the assignment requirement of a 20-year dataset.</t>
  </si>
  <si>
    <t>Transportation
(MMT CO₂ eq.)</t>
  </si>
  <si>
    <t>Electric Power
(MMT CO₂ eq.)</t>
  </si>
  <si>
    <t>Industry
(MMT CO₂ eq.)</t>
  </si>
  <si>
    <t>Residential &amp;
Commercial
(MMT CO₂ eq.)</t>
  </si>
  <si>
    <t>Sector Total
(MMT CO₂ eq.)</t>
  </si>
  <si>
    <t>Largest
Sector</t>
  </si>
  <si>
    <t>Key Observation</t>
  </si>
  <si>
    <t>Elec. Power</t>
  </si>
  <si>
    <t>GFC: all sectors drop sharply</t>
  </si>
  <si>
    <t>Electric power drops below transport</t>
  </si>
  <si>
    <t>Transport</t>
  </si>
  <si>
    <t>COVID: transport collapses (-295 MMT)</t>
  </si>
  <si>
    <t>Electric power at 20-yr low</t>
  </si>
  <si>
    <t>2004–2023
Avg (MMT)</t>
  </si>
  <si>
    <t>Transport/
Elec.Power</t>
  </si>
  <si>
    <t>20-yr averages</t>
  </si>
  <si>
    <t>Source: EPA (2025). Inventory of U.S. Greenhouse Gas Emissions and Sinks: 1990–2023 (EPA 430-R-25-003). Table 2-5: CO₂ Emissions from Fossil Fuel Combustion by End-Use Sector. U.S. Environmental Protection Agency. https://www.epa.gov/ghgemissions/inventory-us-greenhouse-gas-emissions-and-sinks | Units: Million Metric Tonnes CO₂ equivalent (MMT CO₂ eq.) | Residential and Commercial sectors combined for simplicity.</t>
  </si>
  <si>
    <t>Per Capita CO₂ emissions (t/person) United
States</t>
  </si>
  <si>
    <t>Per Capita CO₂ emissions (t/person) India</t>
  </si>
  <si>
    <t>Per Capita CO₂ emissions (t/person) China</t>
  </si>
  <si>
    <t>Per Capita CO₂ emissions (t/person) World
Average</t>
  </si>
  <si>
    <t>US vs World
Economic ratio</t>
  </si>
  <si>
    <t>US vs India
Emissions per capita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</si>
</sst>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\%"/>
    <numFmt numFmtId="165" formatCode="0.0\x"/>
    <numFmt numFmtId="166" formatCode="\$#,##0.00"/>
    <numFmt numFmtId="167" formatCode="#,##0.0"/>
  </numFmts>
  <fonts count="9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  <font>
      <b/>
      <sz val="10"/>
      <color rgb="FF1F4E79"/>
      <name val="Arial"/>
      <charset val="1"/>
    </font>
    <font>
      <i/>
      <sz val="9"/>
      <color rgb="FF595959"/>
      <name val="Arial"/>
      <charset val="1"/>
    </font>
    <font>
      <i/>
      <sz val="10"/>
      <color rgb="FF1F4E7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D6E4F0"/>
        <bgColor rgb="FFEBF3FB"/>
      </patternFill>
    </fill>
    <fill>
      <patternFill patternType="solid">
        <fgColor rgb="FFFFF2CC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6" borderId="0" xfId="0" applyFont="1" applyFill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67" fontId="6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zoomScaleNormal="100" workbookViewId="0">
      <pane ySplit="1" topLeftCell="A2" activePane="bottomLeft" state="frozen"/>
      <selection pane="bottomLeft" activeCell="N7" sqref="N7"/>
    </sheetView>
  </sheetViews>
  <sheetFormatPr defaultColWidth="8.6328125" defaultRowHeight="14.5" x14ac:dyDescent="0.35"/>
  <cols>
    <col min="1" max="1" width="8" customWidth="1"/>
    <col min="2" max="2" width="13" customWidth="1"/>
    <col min="3" max="4" width="14" customWidth="1"/>
    <col min="5" max="5" width="12" customWidth="1"/>
    <col min="6" max="7" width="10" customWidth="1"/>
    <col min="8" max="8" width="12" customWidth="1"/>
    <col min="9" max="10" width="13" customWidth="1"/>
    <col min="11" max="11" width="15" customWidth="1"/>
    <col min="12" max="12" width="22" customWidth="1"/>
  </cols>
  <sheetData>
    <row r="1" spans="1:12" ht="113" customHeight="1" x14ac:dyDescent="0.35">
      <c r="A1" s="3" t="s">
        <v>0</v>
      </c>
      <c r="B1" s="3" t="s">
        <v>2</v>
      </c>
      <c r="C1" s="3" t="s">
        <v>3</v>
      </c>
      <c r="D1" s="3" t="s">
        <v>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50</v>
      </c>
      <c r="J1" s="3" t="s">
        <v>49</v>
      </c>
      <c r="K1" s="3" t="s">
        <v>5</v>
      </c>
      <c r="L1" s="3" t="s">
        <v>1</v>
      </c>
    </row>
    <row r="2" spans="1:12" ht="15" customHeight="1" x14ac:dyDescent="0.35">
      <c r="A2" s="4">
        <v>2004</v>
      </c>
      <c r="B2" s="5">
        <v>6111.55</v>
      </c>
      <c r="C2" s="6">
        <v>292805298</v>
      </c>
      <c r="D2" s="7">
        <v>21.36</v>
      </c>
      <c r="E2" s="5">
        <v>20.87</v>
      </c>
      <c r="F2" s="5">
        <v>1</v>
      </c>
      <c r="G2" s="5">
        <v>4</v>
      </c>
      <c r="H2" s="5">
        <v>4.4000000000000004</v>
      </c>
      <c r="I2" s="8">
        <v>20.9</v>
      </c>
      <c r="J2" s="8">
        <v>4.7</v>
      </c>
      <c r="K2" s="9">
        <v>41724.629999999997</v>
      </c>
      <c r="L2" s="10"/>
    </row>
    <row r="3" spans="1:12" ht="15" customHeight="1" x14ac:dyDescent="0.35">
      <c r="A3" s="11">
        <v>2005</v>
      </c>
      <c r="B3" s="12">
        <v>6126.9</v>
      </c>
      <c r="C3" s="13">
        <v>295516599</v>
      </c>
      <c r="D3" s="14">
        <v>20.7</v>
      </c>
      <c r="E3" s="12">
        <v>20.72</v>
      </c>
      <c r="F3" s="12">
        <v>1.04</v>
      </c>
      <c r="G3" s="12">
        <v>4.49</v>
      </c>
      <c r="H3" s="12">
        <v>4.49</v>
      </c>
      <c r="I3" s="15">
        <v>20</v>
      </c>
      <c r="J3" s="15">
        <v>4.5999999999999996</v>
      </c>
      <c r="K3" s="16">
        <v>44123.41</v>
      </c>
      <c r="L3" s="17"/>
    </row>
    <row r="4" spans="1:12" ht="15" customHeight="1" x14ac:dyDescent="0.35">
      <c r="A4" s="4">
        <v>2006</v>
      </c>
      <c r="B4" s="5">
        <v>6045.33</v>
      </c>
      <c r="C4" s="6">
        <v>298379912</v>
      </c>
      <c r="D4" s="7">
        <v>19.760000000000002</v>
      </c>
      <c r="E4" s="5">
        <v>20.239999999999998</v>
      </c>
      <c r="F4" s="5">
        <v>1.1000000000000001</v>
      </c>
      <c r="G4" s="5">
        <v>4.92</v>
      </c>
      <c r="H4" s="5">
        <v>4.59</v>
      </c>
      <c r="I4" s="8">
        <v>18.399999999999999</v>
      </c>
      <c r="J4" s="8">
        <v>4.4000000000000004</v>
      </c>
      <c r="K4" s="9">
        <v>46302</v>
      </c>
      <c r="L4" s="10"/>
    </row>
    <row r="5" spans="1:12" ht="15" customHeight="1" x14ac:dyDescent="0.35">
      <c r="A5" s="11">
        <v>2007</v>
      </c>
      <c r="B5" s="12">
        <v>6121.54</v>
      </c>
      <c r="C5" s="13">
        <v>301231207</v>
      </c>
      <c r="D5" s="14">
        <v>19.43</v>
      </c>
      <c r="E5" s="12">
        <v>20.28</v>
      </c>
      <c r="F5" s="12">
        <v>1.17</v>
      </c>
      <c r="G5" s="12">
        <v>5.26</v>
      </c>
      <c r="H5" s="12">
        <v>4.66</v>
      </c>
      <c r="I5" s="15">
        <v>17.3</v>
      </c>
      <c r="J5" s="15">
        <v>4.4000000000000004</v>
      </c>
      <c r="K5" s="16">
        <v>48050.22</v>
      </c>
      <c r="L5" s="17"/>
    </row>
    <row r="6" spans="1:12" ht="15" customHeight="1" x14ac:dyDescent="0.35">
      <c r="A6" s="4">
        <v>2008</v>
      </c>
      <c r="B6" s="5">
        <v>5919.22</v>
      </c>
      <c r="C6" s="6">
        <v>304093966</v>
      </c>
      <c r="D6" s="7">
        <v>18.47</v>
      </c>
      <c r="E6" s="5">
        <v>19.41</v>
      </c>
      <c r="F6" s="5">
        <v>1.23</v>
      </c>
      <c r="G6" s="5">
        <v>5.62</v>
      </c>
      <c r="H6" s="5">
        <v>4.68</v>
      </c>
      <c r="I6" s="8">
        <v>15.7</v>
      </c>
      <c r="J6" s="8">
        <v>4.0999999999999996</v>
      </c>
      <c r="K6" s="9">
        <v>48570.05</v>
      </c>
      <c r="L6" s="10" t="s">
        <v>6</v>
      </c>
    </row>
    <row r="7" spans="1:12" ht="15" customHeight="1" x14ac:dyDescent="0.35">
      <c r="A7" s="11">
        <v>2009</v>
      </c>
      <c r="B7" s="12">
        <v>5486.1</v>
      </c>
      <c r="C7" s="13">
        <v>306771529</v>
      </c>
      <c r="D7" s="14">
        <v>17.41</v>
      </c>
      <c r="E7" s="12">
        <v>17.809999999999999</v>
      </c>
      <c r="F7" s="12">
        <v>1.32</v>
      </c>
      <c r="G7" s="12">
        <v>5.87</v>
      </c>
      <c r="H7" s="12">
        <v>4.55</v>
      </c>
      <c r="I7" s="15">
        <v>13.5</v>
      </c>
      <c r="J7" s="15">
        <v>3.9</v>
      </c>
      <c r="K7" s="16">
        <v>47194.94</v>
      </c>
      <c r="L7" s="17" t="s">
        <v>7</v>
      </c>
    </row>
    <row r="8" spans="1:12" ht="15" customHeight="1" x14ac:dyDescent="0.35">
      <c r="A8" s="4">
        <v>2010</v>
      </c>
      <c r="B8" s="5">
        <v>5669.25</v>
      </c>
      <c r="C8" s="6">
        <v>309378227</v>
      </c>
      <c r="D8" s="7">
        <v>17.02</v>
      </c>
      <c r="E8" s="5">
        <v>18.23</v>
      </c>
      <c r="F8" s="5">
        <v>1.35</v>
      </c>
      <c r="G8" s="5">
        <v>6.37</v>
      </c>
      <c r="H8" s="5">
        <v>4.74</v>
      </c>
      <c r="I8" s="8">
        <v>13.5</v>
      </c>
      <c r="J8" s="8">
        <v>3.8</v>
      </c>
      <c r="K8" s="9">
        <v>48642.61</v>
      </c>
      <c r="L8" s="10"/>
    </row>
    <row r="9" spans="1:12" ht="15" customHeight="1" x14ac:dyDescent="0.35">
      <c r="A9" s="11">
        <v>2011</v>
      </c>
      <c r="B9" s="12">
        <v>5538.97</v>
      </c>
      <c r="C9" s="13">
        <v>311839461</v>
      </c>
      <c r="D9" s="14">
        <v>16.059999999999999</v>
      </c>
      <c r="E9" s="12">
        <v>17.63</v>
      </c>
      <c r="F9" s="12">
        <v>1.4</v>
      </c>
      <c r="G9" s="12">
        <v>7</v>
      </c>
      <c r="H9" s="12">
        <v>4.8499999999999996</v>
      </c>
      <c r="I9" s="15">
        <v>12.6</v>
      </c>
      <c r="J9" s="15">
        <v>3.6</v>
      </c>
      <c r="K9" s="16">
        <v>50024.87</v>
      </c>
      <c r="L9" s="17"/>
    </row>
    <row r="10" spans="1:12" ht="15" customHeight="1" x14ac:dyDescent="0.35">
      <c r="A10" s="4">
        <v>2012</v>
      </c>
      <c r="B10" s="5">
        <v>5331.47</v>
      </c>
      <c r="C10" s="6">
        <v>314339099</v>
      </c>
      <c r="D10" s="7">
        <v>15.25</v>
      </c>
      <c r="E10" s="5">
        <v>16.809999999999999</v>
      </c>
      <c r="F10" s="5">
        <v>1.51</v>
      </c>
      <c r="G10" s="5">
        <v>7.13</v>
      </c>
      <c r="H10" s="5">
        <v>4.8499999999999996</v>
      </c>
      <c r="I10" s="8">
        <v>11.2</v>
      </c>
      <c r="J10" s="8">
        <v>3.5</v>
      </c>
      <c r="K10" s="9">
        <v>51708.4</v>
      </c>
      <c r="L10" s="10"/>
    </row>
    <row r="11" spans="1:12" ht="15" customHeight="1" x14ac:dyDescent="0.35">
      <c r="A11" s="11">
        <v>2013</v>
      </c>
      <c r="B11" s="12">
        <v>5473.44</v>
      </c>
      <c r="C11" s="13">
        <v>316726282</v>
      </c>
      <c r="D11" s="14">
        <v>15.52</v>
      </c>
      <c r="E11" s="12">
        <v>17.100000000000001</v>
      </c>
      <c r="F11" s="12">
        <v>1.54</v>
      </c>
      <c r="G11" s="12">
        <v>7.21</v>
      </c>
      <c r="H11" s="12">
        <v>4.84</v>
      </c>
      <c r="I11" s="15">
        <v>11.1</v>
      </c>
      <c r="J11" s="15">
        <v>3.5</v>
      </c>
      <c r="K11" s="16">
        <v>53179.01</v>
      </c>
      <c r="L11" s="17"/>
    </row>
    <row r="12" spans="1:12" ht="15" customHeight="1" x14ac:dyDescent="0.35">
      <c r="A12" s="4">
        <v>2014</v>
      </c>
      <c r="B12" s="5">
        <v>5531.39</v>
      </c>
      <c r="C12" s="6">
        <v>319257560</v>
      </c>
      <c r="D12" s="7">
        <v>15.6</v>
      </c>
      <c r="E12" s="5">
        <v>17.12</v>
      </c>
      <c r="F12" s="5">
        <v>1.64</v>
      </c>
      <c r="G12" s="5">
        <v>7.19</v>
      </c>
      <c r="H12" s="5">
        <v>4.8</v>
      </c>
      <c r="I12" s="8">
        <v>10.5</v>
      </c>
      <c r="J12" s="8">
        <v>3.6</v>
      </c>
      <c r="K12" s="9">
        <v>54973.42</v>
      </c>
      <c r="L12" s="10"/>
    </row>
    <row r="13" spans="1:12" ht="15" customHeight="1" x14ac:dyDescent="0.35">
      <c r="A13" s="11">
        <v>2015</v>
      </c>
      <c r="B13" s="12">
        <v>5368.5</v>
      </c>
      <c r="C13" s="13">
        <v>321815121</v>
      </c>
      <c r="D13" s="14">
        <v>15.16</v>
      </c>
      <c r="E13" s="12">
        <v>16.46</v>
      </c>
      <c r="F13" s="12">
        <v>1.68</v>
      </c>
      <c r="G13" s="12">
        <v>7.06</v>
      </c>
      <c r="H13" s="12">
        <v>4.74</v>
      </c>
      <c r="I13" s="15">
        <v>9.8000000000000007</v>
      </c>
      <c r="J13" s="15">
        <v>3.5</v>
      </c>
      <c r="K13" s="16">
        <v>56572.92</v>
      </c>
      <c r="L13" s="17"/>
    </row>
    <row r="14" spans="1:12" ht="15" customHeight="1" x14ac:dyDescent="0.35">
      <c r="A14" s="4">
        <v>2016</v>
      </c>
      <c r="B14" s="5">
        <v>5245.36</v>
      </c>
      <c r="C14" s="6">
        <v>324353340</v>
      </c>
      <c r="D14" s="7">
        <v>14.82</v>
      </c>
      <c r="E14" s="5">
        <v>15.93</v>
      </c>
      <c r="F14" s="5">
        <v>1.75</v>
      </c>
      <c r="G14" s="5">
        <v>6.94</v>
      </c>
      <c r="H14" s="5">
        <v>4.68</v>
      </c>
      <c r="I14" s="8">
        <v>9.1</v>
      </c>
      <c r="J14" s="8">
        <v>3.4</v>
      </c>
      <c r="K14" s="9">
        <v>57638.1</v>
      </c>
      <c r="L14" s="10"/>
    </row>
    <row r="15" spans="1:12" ht="15" customHeight="1" x14ac:dyDescent="0.35">
      <c r="A15" s="11">
        <v>2017</v>
      </c>
      <c r="B15" s="12">
        <v>5195.42</v>
      </c>
      <c r="C15" s="13">
        <v>326608609</v>
      </c>
      <c r="D15" s="14">
        <v>14.44</v>
      </c>
      <c r="E15" s="12">
        <v>15.64</v>
      </c>
      <c r="F15" s="12">
        <v>1.78</v>
      </c>
      <c r="G15" s="12">
        <v>7.08</v>
      </c>
      <c r="H15" s="12">
        <v>4.71</v>
      </c>
      <c r="I15" s="15">
        <v>8.8000000000000007</v>
      </c>
      <c r="J15" s="15">
        <v>3.3</v>
      </c>
      <c r="K15" s="16">
        <v>59635.1</v>
      </c>
      <c r="L15" s="17"/>
    </row>
    <row r="16" spans="1:12" ht="15" customHeight="1" x14ac:dyDescent="0.35">
      <c r="A16" s="4">
        <v>2018</v>
      </c>
      <c r="B16" s="5">
        <v>5361.24</v>
      </c>
      <c r="C16" s="6">
        <v>328529577</v>
      </c>
      <c r="D16" s="7">
        <v>14.59</v>
      </c>
      <c r="E16" s="5">
        <v>16</v>
      </c>
      <c r="F16" s="5">
        <v>1.89</v>
      </c>
      <c r="G16" s="5">
        <v>7.29</v>
      </c>
      <c r="H16" s="5">
        <v>4.75</v>
      </c>
      <c r="I16" s="8">
        <v>8.5</v>
      </c>
      <c r="J16" s="8">
        <v>3.4</v>
      </c>
      <c r="K16" s="9">
        <v>62499.87</v>
      </c>
      <c r="L16" s="10"/>
    </row>
    <row r="17" spans="1:12" ht="15" customHeight="1" x14ac:dyDescent="0.35">
      <c r="A17" s="11">
        <v>2019</v>
      </c>
      <c r="B17" s="12">
        <v>5235.91</v>
      </c>
      <c r="C17" s="13">
        <v>330226227</v>
      </c>
      <c r="D17" s="14">
        <v>14.12</v>
      </c>
      <c r="E17" s="12">
        <v>15.5</v>
      </c>
      <c r="F17" s="12">
        <v>1.88</v>
      </c>
      <c r="G17" s="12">
        <v>7.53</v>
      </c>
      <c r="H17" s="12">
        <v>4.75</v>
      </c>
      <c r="I17" s="15">
        <v>8.1999999999999993</v>
      </c>
      <c r="J17" s="15">
        <v>3.3</v>
      </c>
      <c r="K17" s="16">
        <v>64746.45</v>
      </c>
      <c r="L17" s="17"/>
    </row>
    <row r="18" spans="1:12" ht="21.75" customHeight="1" x14ac:dyDescent="0.35">
      <c r="A18" s="4">
        <v>2020</v>
      </c>
      <c r="B18" s="5">
        <v>4689.95</v>
      </c>
      <c r="C18" s="6">
        <v>331577720</v>
      </c>
      <c r="D18" s="7">
        <v>13.34</v>
      </c>
      <c r="E18" s="5">
        <v>13.82</v>
      </c>
      <c r="F18" s="5">
        <v>1.73</v>
      </c>
      <c r="G18" s="5">
        <v>7.64</v>
      </c>
      <c r="H18" s="5">
        <v>4.46</v>
      </c>
      <c r="I18" s="8">
        <v>8</v>
      </c>
      <c r="J18" s="8">
        <v>3.1</v>
      </c>
      <c r="K18" s="9">
        <v>63515.95</v>
      </c>
      <c r="L18" s="10" t="s">
        <v>8</v>
      </c>
    </row>
    <row r="19" spans="1:12" ht="15" customHeight="1" x14ac:dyDescent="0.35">
      <c r="A19" s="11">
        <v>2021</v>
      </c>
      <c r="B19" s="12">
        <v>5020.1099999999997</v>
      </c>
      <c r="C19" s="13">
        <v>332099760</v>
      </c>
      <c r="D19" s="14">
        <v>13.62</v>
      </c>
      <c r="E19" s="12">
        <v>14.76</v>
      </c>
      <c r="F19" s="12">
        <v>1.89</v>
      </c>
      <c r="G19" s="12">
        <v>7.91</v>
      </c>
      <c r="H19" s="12">
        <v>4.63</v>
      </c>
      <c r="I19" s="15">
        <v>7.8</v>
      </c>
      <c r="J19" s="15">
        <v>3.2</v>
      </c>
      <c r="K19" s="16">
        <v>70205.05</v>
      </c>
      <c r="L19" s="17" t="s">
        <v>9</v>
      </c>
    </row>
    <row r="20" spans="1:12" ht="15" customHeight="1" x14ac:dyDescent="0.35">
      <c r="A20" s="4">
        <v>2022</v>
      </c>
      <c r="B20" s="5">
        <v>5055.3999999999996</v>
      </c>
      <c r="C20" s="6">
        <v>334017321</v>
      </c>
      <c r="D20" s="7">
        <v>13.47</v>
      </c>
      <c r="E20" s="5">
        <v>14.8</v>
      </c>
      <c r="F20" s="5">
        <v>1.99</v>
      </c>
      <c r="G20" s="5">
        <v>8.2200000000000006</v>
      </c>
      <c r="H20" s="5">
        <v>4.68</v>
      </c>
      <c r="I20" s="8">
        <v>7.5</v>
      </c>
      <c r="J20" s="8">
        <v>3.2</v>
      </c>
      <c r="K20" s="9">
        <v>76657.25</v>
      </c>
      <c r="L20" s="10"/>
    </row>
    <row r="21" spans="1:12" ht="15" customHeight="1" x14ac:dyDescent="0.35">
      <c r="A21" s="11">
        <v>2023</v>
      </c>
      <c r="B21" s="12">
        <v>4918.41</v>
      </c>
      <c r="C21" s="13">
        <v>336806231</v>
      </c>
      <c r="D21" s="14">
        <v>12.91</v>
      </c>
      <c r="E21" s="12">
        <v>14.32</v>
      </c>
      <c r="F21" s="12">
        <v>2.13</v>
      </c>
      <c r="G21" s="12">
        <v>8.56</v>
      </c>
      <c r="H21" s="12">
        <v>4.71</v>
      </c>
      <c r="I21" s="15">
        <v>6.7</v>
      </c>
      <c r="J21" s="15">
        <v>3</v>
      </c>
      <c r="K21" s="16">
        <v>81032.259999999995</v>
      </c>
      <c r="L21" s="17"/>
    </row>
    <row r="22" spans="1:12" ht="27.75" customHeight="1" x14ac:dyDescent="0.35">
      <c r="A22" s="18" t="s">
        <v>10</v>
      </c>
      <c r="B22" s="18">
        <f>MIN(B2:B21)</f>
        <v>4689.95</v>
      </c>
      <c r="C22" s="18">
        <f t="shared" ref="C22:K22" si="0">AVERAGE(C2:C21)</f>
        <v>316818652.30000001</v>
      </c>
      <c r="D22" s="18">
        <f t="shared" si="0"/>
        <v>16.1525</v>
      </c>
      <c r="E22" s="18">
        <f t="shared" si="0"/>
        <v>17.172499999999999</v>
      </c>
      <c r="F22" s="18">
        <f t="shared" si="0"/>
        <v>1.5509999999999999</v>
      </c>
      <c r="G22" s="18">
        <f t="shared" si="0"/>
        <v>6.6644999999999994</v>
      </c>
      <c r="H22" s="18">
        <f t="shared" si="0"/>
        <v>4.677999999999999</v>
      </c>
      <c r="I22" s="18">
        <f t="shared" si="0"/>
        <v>11.955</v>
      </c>
      <c r="J22" s="18">
        <f t="shared" si="0"/>
        <v>3.6749999999999998</v>
      </c>
      <c r="K22" s="19">
        <f t="shared" si="0"/>
        <v>56349.825499999999</v>
      </c>
      <c r="L22" s="18"/>
    </row>
    <row r="24" spans="1:12" ht="39.75" customHeight="1" x14ac:dyDescent="0.35">
      <c r="A24" s="1" t="s">
        <v>11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</sheetData>
  <mergeCells count="1">
    <mergeCell ref="A24:L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>
      <selection sqref="A1:B1"/>
    </sheetView>
  </sheetViews>
  <sheetFormatPr defaultColWidth="8.6328125" defaultRowHeight="14.5" x14ac:dyDescent="0.35"/>
  <cols>
    <col min="1" max="1" width="28" customWidth="1"/>
    <col min="2" max="2" width="75" customWidth="1"/>
  </cols>
  <sheetData>
    <row r="1" spans="1:2" ht="27.75" customHeight="1" x14ac:dyDescent="0.35">
      <c r="A1" s="2" t="s">
        <v>12</v>
      </c>
      <c r="B1" s="2"/>
    </row>
    <row r="2" spans="1:2" ht="19.5" customHeight="1" x14ac:dyDescent="0.35">
      <c r="A2" s="20" t="s">
        <v>13</v>
      </c>
      <c r="B2" s="20" t="s">
        <v>14</v>
      </c>
    </row>
    <row r="3" spans="1:2" ht="75" customHeight="1" x14ac:dyDescent="0.35">
      <c r="A3" s="21" t="s">
        <v>15</v>
      </c>
      <c r="B3" s="21" t="s">
        <v>16</v>
      </c>
    </row>
    <row r="4" spans="1:2" ht="75" customHeight="1" x14ac:dyDescent="0.35">
      <c r="A4" s="22" t="s">
        <v>3</v>
      </c>
      <c r="B4" s="22" t="s">
        <v>17</v>
      </c>
    </row>
    <row r="5" spans="1:2" ht="75" customHeight="1" x14ac:dyDescent="0.35">
      <c r="A5" s="21" t="s">
        <v>18</v>
      </c>
      <c r="B5" s="21" t="s">
        <v>19</v>
      </c>
    </row>
    <row r="6" spans="1:2" ht="75" customHeight="1" x14ac:dyDescent="0.35">
      <c r="A6" s="22" t="s">
        <v>20</v>
      </c>
      <c r="B6" s="22" t="s">
        <v>21</v>
      </c>
    </row>
    <row r="7" spans="1:2" ht="75" customHeight="1" x14ac:dyDescent="0.35">
      <c r="A7" s="21" t="s">
        <v>22</v>
      </c>
      <c r="B7" s="21" t="s">
        <v>23</v>
      </c>
    </row>
    <row r="8" spans="1:2" ht="75" customHeight="1" x14ac:dyDescent="0.35">
      <c r="A8" s="22" t="s">
        <v>24</v>
      </c>
      <c r="B8" s="22" t="s">
        <v>25</v>
      </c>
    </row>
    <row r="9" spans="1:2" ht="75" customHeight="1" x14ac:dyDescent="0.35">
      <c r="A9" s="21" t="s">
        <v>26</v>
      </c>
      <c r="B9" s="21" t="s">
        <v>27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8.6328125" defaultRowHeight="14.5" x14ac:dyDescent="0.35"/>
  <cols>
    <col min="1" max="1" width="8" customWidth="1"/>
    <col min="2" max="3" width="18" customWidth="1"/>
    <col min="4" max="4" width="14" customWidth="1"/>
    <col min="5" max="5" width="18" customWidth="1"/>
    <col min="6" max="6" width="14" customWidth="1"/>
    <col min="7" max="7" width="13" customWidth="1"/>
    <col min="8" max="8" width="28" customWidth="1"/>
  </cols>
  <sheetData>
    <row r="1" spans="1:8" ht="48" customHeight="1" x14ac:dyDescent="0.35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</row>
    <row r="2" spans="1:8" x14ac:dyDescent="0.35">
      <c r="A2" s="4">
        <v>2004</v>
      </c>
      <c r="B2" s="6">
        <v>1844</v>
      </c>
      <c r="C2" s="6">
        <v>2328</v>
      </c>
      <c r="D2" s="6">
        <v>827</v>
      </c>
      <c r="E2" s="6">
        <v>1113</v>
      </c>
      <c r="F2" s="23">
        <v>6112</v>
      </c>
      <c r="G2" s="24" t="s">
        <v>35</v>
      </c>
      <c r="H2" s="10"/>
    </row>
    <row r="3" spans="1:8" x14ac:dyDescent="0.35">
      <c r="A3" s="11">
        <v>2005</v>
      </c>
      <c r="B3" s="13">
        <v>1886</v>
      </c>
      <c r="C3" s="13">
        <v>2301</v>
      </c>
      <c r="D3" s="13">
        <v>820</v>
      </c>
      <c r="E3" s="13">
        <v>1120</v>
      </c>
      <c r="F3" s="25">
        <v>6127</v>
      </c>
      <c r="G3" s="26" t="s">
        <v>35</v>
      </c>
      <c r="H3" s="17"/>
    </row>
    <row r="4" spans="1:8" x14ac:dyDescent="0.35">
      <c r="A4" s="4">
        <v>2006</v>
      </c>
      <c r="B4" s="6">
        <v>1876</v>
      </c>
      <c r="C4" s="6">
        <v>2337</v>
      </c>
      <c r="D4" s="6">
        <v>822</v>
      </c>
      <c r="E4" s="6">
        <v>1011</v>
      </c>
      <c r="F4" s="23">
        <v>6046</v>
      </c>
      <c r="G4" s="24" t="s">
        <v>35</v>
      </c>
      <c r="H4" s="10"/>
    </row>
    <row r="5" spans="1:8" x14ac:dyDescent="0.35">
      <c r="A5" s="11">
        <v>2007</v>
      </c>
      <c r="B5" s="13">
        <v>1893</v>
      </c>
      <c r="C5" s="13">
        <v>2413</v>
      </c>
      <c r="D5" s="13">
        <v>813</v>
      </c>
      <c r="E5" s="13">
        <v>1003</v>
      </c>
      <c r="F5" s="25">
        <v>6122</v>
      </c>
      <c r="G5" s="26" t="s">
        <v>35</v>
      </c>
      <c r="H5" s="17"/>
    </row>
    <row r="6" spans="1:8" x14ac:dyDescent="0.35">
      <c r="A6" s="4">
        <v>2008</v>
      </c>
      <c r="B6" s="6">
        <v>1797</v>
      </c>
      <c r="C6" s="6">
        <v>2360</v>
      </c>
      <c r="D6" s="6">
        <v>787</v>
      </c>
      <c r="E6" s="6">
        <v>975</v>
      </c>
      <c r="F6" s="23">
        <v>5919</v>
      </c>
      <c r="G6" s="24" t="s">
        <v>35</v>
      </c>
      <c r="H6" s="10"/>
    </row>
    <row r="7" spans="1:8" x14ac:dyDescent="0.35">
      <c r="A7" s="11">
        <v>2009</v>
      </c>
      <c r="B7" s="13">
        <v>1711</v>
      </c>
      <c r="C7" s="13">
        <v>2145</v>
      </c>
      <c r="D7" s="13">
        <v>718</v>
      </c>
      <c r="E7" s="13">
        <v>912</v>
      </c>
      <c r="F7" s="25">
        <v>5486</v>
      </c>
      <c r="G7" s="26" t="s">
        <v>35</v>
      </c>
      <c r="H7" s="17" t="s">
        <v>36</v>
      </c>
    </row>
    <row r="8" spans="1:8" x14ac:dyDescent="0.35">
      <c r="A8" s="4">
        <v>2010</v>
      </c>
      <c r="B8" s="6">
        <v>1736</v>
      </c>
      <c r="C8" s="6">
        <v>2284</v>
      </c>
      <c r="D8" s="6">
        <v>748</v>
      </c>
      <c r="E8" s="6">
        <v>901</v>
      </c>
      <c r="F8" s="23">
        <v>5669</v>
      </c>
      <c r="G8" s="24" t="s">
        <v>35</v>
      </c>
      <c r="H8" s="10"/>
    </row>
    <row r="9" spans="1:8" x14ac:dyDescent="0.35">
      <c r="A9" s="11">
        <v>2011</v>
      </c>
      <c r="B9" s="13">
        <v>1695</v>
      </c>
      <c r="C9" s="13">
        <v>2189</v>
      </c>
      <c r="D9" s="13">
        <v>736</v>
      </c>
      <c r="E9" s="13">
        <v>919</v>
      </c>
      <c r="F9" s="25">
        <v>5539</v>
      </c>
      <c r="G9" s="26" t="s">
        <v>35</v>
      </c>
      <c r="H9" s="17"/>
    </row>
    <row r="10" spans="1:8" x14ac:dyDescent="0.35">
      <c r="A10" s="4">
        <v>2012</v>
      </c>
      <c r="B10" s="6">
        <v>1679</v>
      </c>
      <c r="C10" s="6">
        <v>2052</v>
      </c>
      <c r="D10" s="6">
        <v>722</v>
      </c>
      <c r="E10" s="6">
        <v>879</v>
      </c>
      <c r="F10" s="23">
        <v>5332</v>
      </c>
      <c r="G10" s="24" t="s">
        <v>35</v>
      </c>
      <c r="H10" s="10"/>
    </row>
    <row r="11" spans="1:8" x14ac:dyDescent="0.35">
      <c r="A11" s="11">
        <v>2013</v>
      </c>
      <c r="B11" s="13">
        <v>1714</v>
      </c>
      <c r="C11" s="13">
        <v>2079</v>
      </c>
      <c r="D11" s="13">
        <v>728</v>
      </c>
      <c r="E11" s="13">
        <v>952</v>
      </c>
      <c r="F11" s="25">
        <v>5473</v>
      </c>
      <c r="G11" s="26" t="s">
        <v>35</v>
      </c>
      <c r="H11" s="17"/>
    </row>
    <row r="12" spans="1:8" x14ac:dyDescent="0.35">
      <c r="A12" s="4">
        <v>2014</v>
      </c>
      <c r="B12" s="6">
        <v>1736</v>
      </c>
      <c r="C12" s="6">
        <v>2038</v>
      </c>
      <c r="D12" s="6">
        <v>735</v>
      </c>
      <c r="E12" s="6">
        <v>1023</v>
      </c>
      <c r="F12" s="23">
        <v>5532</v>
      </c>
      <c r="G12" s="24" t="s">
        <v>35</v>
      </c>
      <c r="H12" s="10"/>
    </row>
    <row r="13" spans="1:8" ht="24" x14ac:dyDescent="0.35">
      <c r="A13" s="11">
        <v>2015</v>
      </c>
      <c r="B13" s="13">
        <v>1715</v>
      </c>
      <c r="C13" s="13">
        <v>1901</v>
      </c>
      <c r="D13" s="13">
        <v>726</v>
      </c>
      <c r="E13" s="13">
        <v>1027</v>
      </c>
      <c r="F13" s="25">
        <v>5369</v>
      </c>
      <c r="G13" s="26" t="s">
        <v>35</v>
      </c>
      <c r="H13" s="17" t="s">
        <v>37</v>
      </c>
    </row>
    <row r="14" spans="1:8" x14ac:dyDescent="0.35">
      <c r="A14" s="4">
        <v>2016</v>
      </c>
      <c r="B14" s="6">
        <v>1697</v>
      </c>
      <c r="C14" s="6">
        <v>1822</v>
      </c>
      <c r="D14" s="6">
        <v>730</v>
      </c>
      <c r="E14" s="6">
        <v>997</v>
      </c>
      <c r="F14" s="23">
        <v>5246</v>
      </c>
      <c r="G14" s="24" t="s">
        <v>35</v>
      </c>
      <c r="H14" s="10"/>
    </row>
    <row r="15" spans="1:8" x14ac:dyDescent="0.35">
      <c r="A15" s="11">
        <v>2017</v>
      </c>
      <c r="B15" s="13">
        <v>1710</v>
      </c>
      <c r="C15" s="13">
        <v>1752</v>
      </c>
      <c r="D15" s="13">
        <v>733</v>
      </c>
      <c r="E15" s="13">
        <v>1000</v>
      </c>
      <c r="F15" s="25">
        <v>5195</v>
      </c>
      <c r="G15" s="26" t="s">
        <v>35</v>
      </c>
      <c r="H15" s="17"/>
    </row>
    <row r="16" spans="1:8" x14ac:dyDescent="0.35">
      <c r="A16" s="4">
        <v>2018</v>
      </c>
      <c r="B16" s="6">
        <v>1762</v>
      </c>
      <c r="C16" s="6">
        <v>1753</v>
      </c>
      <c r="D16" s="6">
        <v>769</v>
      </c>
      <c r="E16" s="6">
        <v>1077</v>
      </c>
      <c r="F16" s="23">
        <v>5361</v>
      </c>
      <c r="G16" s="24" t="s">
        <v>38</v>
      </c>
      <c r="H16" s="10"/>
    </row>
    <row r="17" spans="1:8" x14ac:dyDescent="0.35">
      <c r="A17" s="11">
        <v>2019</v>
      </c>
      <c r="B17" s="13">
        <v>1739</v>
      </c>
      <c r="C17" s="13">
        <v>1613</v>
      </c>
      <c r="D17" s="13">
        <v>752</v>
      </c>
      <c r="E17" s="13">
        <v>1132</v>
      </c>
      <c r="F17" s="25">
        <v>5236</v>
      </c>
      <c r="G17" s="26" t="s">
        <v>38</v>
      </c>
      <c r="H17" s="17"/>
    </row>
    <row r="18" spans="1:8" ht="24" x14ac:dyDescent="0.35">
      <c r="A18" s="4">
        <v>2020</v>
      </c>
      <c r="B18" s="6">
        <v>1444</v>
      </c>
      <c r="C18" s="6">
        <v>1448</v>
      </c>
      <c r="D18" s="6">
        <v>657</v>
      </c>
      <c r="E18" s="6">
        <v>1141</v>
      </c>
      <c r="F18" s="23">
        <v>4690</v>
      </c>
      <c r="G18" s="24" t="s">
        <v>35</v>
      </c>
      <c r="H18" s="10" t="s">
        <v>39</v>
      </c>
    </row>
    <row r="19" spans="1:8" x14ac:dyDescent="0.35">
      <c r="A19" s="11">
        <v>2021</v>
      </c>
      <c r="B19" s="13">
        <v>1673</v>
      </c>
      <c r="C19" s="13">
        <v>1548</v>
      </c>
      <c r="D19" s="13">
        <v>722</v>
      </c>
      <c r="E19" s="13">
        <v>1077</v>
      </c>
      <c r="F19" s="25">
        <v>5020</v>
      </c>
      <c r="G19" s="26" t="s">
        <v>38</v>
      </c>
      <c r="H19" s="17"/>
    </row>
    <row r="20" spans="1:8" x14ac:dyDescent="0.35">
      <c r="A20" s="4">
        <v>2022</v>
      </c>
      <c r="B20" s="6">
        <v>1748</v>
      </c>
      <c r="C20" s="6">
        <v>1564</v>
      </c>
      <c r="D20" s="6">
        <v>749</v>
      </c>
      <c r="E20" s="6">
        <v>994</v>
      </c>
      <c r="F20" s="23">
        <v>5055</v>
      </c>
      <c r="G20" s="24" t="s">
        <v>38</v>
      </c>
      <c r="H20" s="10"/>
    </row>
    <row r="21" spans="1:8" x14ac:dyDescent="0.35">
      <c r="A21" s="11">
        <v>2023</v>
      </c>
      <c r="B21" s="13">
        <v>1762</v>
      </c>
      <c r="C21" s="13">
        <v>1488</v>
      </c>
      <c r="D21" s="13">
        <v>748</v>
      </c>
      <c r="E21" s="13">
        <v>921</v>
      </c>
      <c r="F21" s="25">
        <v>4919</v>
      </c>
      <c r="G21" s="26" t="s">
        <v>38</v>
      </c>
      <c r="H21" s="17" t="s">
        <v>40</v>
      </c>
    </row>
    <row r="22" spans="1:8" ht="27.75" customHeight="1" x14ac:dyDescent="0.35">
      <c r="A22" s="18" t="s">
        <v>41</v>
      </c>
      <c r="B22" s="27">
        <f>AVERAGE(B2:B21)</f>
        <v>1740.85</v>
      </c>
      <c r="C22" s="27">
        <f>AVERAGE(C2:C21)</f>
        <v>1970.75</v>
      </c>
      <c r="D22" s="27">
        <f>AVERAGE(D2:D21)</f>
        <v>752.1</v>
      </c>
      <c r="E22" s="27">
        <f>AVERAGE(E2:E21)</f>
        <v>1008.7</v>
      </c>
      <c r="F22" s="27">
        <f>AVERAGE(F2:F21)</f>
        <v>5472.4</v>
      </c>
      <c r="G22" s="18" t="s">
        <v>42</v>
      </c>
      <c r="H22" s="18" t="s">
        <v>43</v>
      </c>
    </row>
    <row r="24" spans="1:8" ht="48" customHeight="1" x14ac:dyDescent="0.35">
      <c r="A24" s="1" t="s">
        <v>44</v>
      </c>
      <c r="B24" s="1"/>
      <c r="C24" s="1"/>
      <c r="D24" s="1"/>
      <c r="E24" s="1"/>
      <c r="F24" s="1"/>
      <c r="G24" s="1"/>
      <c r="H24" s="1"/>
    </row>
  </sheetData>
  <mergeCells count="1"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Dataset</vt:lpstr>
      <vt:lpstr>Sources &amp; Notes</vt:lpstr>
      <vt:lpstr>US Sector Emissions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Aarushi Roy</cp:lastModifiedBy>
  <cp:revision>0</cp:revision>
  <dcterms:created xsi:type="dcterms:W3CDTF">2026-03-21T07:44:43Z</dcterms:created>
  <dcterms:modified xsi:type="dcterms:W3CDTF">2026-03-26T10:21:27Z</dcterms:modified>
  <dc:language>en-US</dc:language>
</cp:coreProperties>
</file>